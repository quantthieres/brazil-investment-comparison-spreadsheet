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d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<sst xmlns="http://schemas.openxmlformats.org/spreadsheetml/2006/main" count="71" uniqueCount="59">
  <si>
    <t xml:space="preserve">COMPARADOR DE INVESTIMENTOS — RENDA FIXA &amp; IBOV11</t>
  </si>
  <si>
    <t xml:space="preserve">Retorno líquido após IR e taxas  •  Tabela regressiva automática  •  IBOV11 com TER e IR 15% sobre ganho de capital</t>
  </si>
  <si>
    <t xml:space="preserve">⚙  PARÂMETROS DE ENTRADA</t>
  </si>
  <si>
    <t xml:space="preserve">Aporte Inicial (R$)</t>
  </si>
  <si>
    <t xml:space="preserve">Aporte Mensal (R$)</t>
  </si>
  <si>
    <t xml:space="preserve">Prazo (meses)</t>
  </si>
  <si>
    <t xml:space="preserve">📈  TAXAS DE MERCADO</t>
  </si>
  <si>
    <t xml:space="preserve">CDI / Selic (a.a.)</t>
  </si>
  <si>
    <t xml:space="preserve">IPCA 12 meses</t>
  </si>
  <si>
    <t xml:space="preserve">🏦  PARÂMETROS DOS PRODUTOS — RENDA FIXA</t>
  </si>
  <si>
    <t xml:space="preserve">Juro Real IPCA+ (a.a.)</t>
  </si>
  <si>
    <t xml:space="preserve">Taxa Pré-Fixado (a.a.)</t>
  </si>
  <si>
    <t xml:space="preserve">CDB (% do CDI)</t>
  </si>
  <si>
    <t xml:space="preserve">LCI (% do CDI)</t>
  </si>
  <si>
    <t xml:space="preserve">LCA (% do CDI)</t>
  </si>
  <si>
    <t xml:space="preserve">📊  PARÂMETROS DO IBOV11 — RENDA VARIÁVEL</t>
  </si>
  <si>
    <t xml:space="preserve">Retorno bruto esperado do Ibovespa (a.a.)</t>
  </si>
  <si>
    <t xml:space="preserve">TER do ETF (taxa interna do fundo, a.a.)</t>
  </si>
  <si>
    <t xml:space="preserve">🔢  CÁLCULOS AUXILIARES (automático)</t>
  </si>
  <si>
    <t xml:space="preserve">Prazo em dias  (×30)</t>
  </si>
  <si>
    <t xml:space="preserve">Alíquota IR — tabela regressiva</t>
  </si>
  <si>
    <t xml:space="preserve">Retorno líquido IBOV11 após TER (a.a.)</t>
  </si>
  <si>
    <t xml:space="preserve">📊  RESULTADOS COMPARATIVOS</t>
  </si>
  <si>
    <t xml:space="preserve">Rank</t>
  </si>
  <si>
    <t xml:space="preserve">Produto</t>
  </si>
  <si>
    <t xml:space="preserve">Taxa
Nominal a.a.</t>
  </si>
  <si>
    <t xml:space="preserve">Taxa
a.m.</t>
  </si>
  <si>
    <t xml:space="preserve">IR?</t>
  </si>
  <si>
    <t xml:space="preserve">Custódia
B3?</t>
  </si>
  <si>
    <t xml:space="preserve">Total
Investido</t>
  </si>
  <si>
    <t xml:space="preserve">Valor
Bruto</t>
  </si>
  <si>
    <t xml:space="preserve">IR
(R$)</t>
  </si>
  <si>
    <t xml:space="preserve">Custódia
(R$)</t>
  </si>
  <si>
    <t xml:space="preserve">Valor
Líquido</t>
  </si>
  <si>
    <t xml:space="preserve">Ganho
Líquido</t>
  </si>
  <si>
    <t xml:space="preserve">Rentab.
Líq.</t>
  </si>
  <si>
    <t xml:space="preserve">Tesouro Selic</t>
  </si>
  <si>
    <t xml:space="preserve">Sim</t>
  </si>
  <si>
    <t xml:space="preserve">Tesouro IPCA+</t>
  </si>
  <si>
    <t xml:space="preserve">CDB</t>
  </si>
  <si>
    <t xml:space="preserve">Não</t>
  </si>
  <si>
    <t xml:space="preserve">LCI</t>
  </si>
  <si>
    <t xml:space="preserve">Isento</t>
  </si>
  <si>
    <t xml:space="preserve">LCA</t>
  </si>
  <si>
    <t xml:space="preserve">Poupança</t>
  </si>
  <si>
    <t xml:space="preserve">Pré-Fixado</t>
  </si>
  <si>
    <t xml:space="preserve">IBOV11 (ETF) ⚠</t>
  </si>
  <si>
    <t xml:space="preserve">15% (GC)</t>
  </si>
  <si>
    <t xml:space="preserve">⚠  IBOV11 (renda variável): o retorno exibido é uma ESTIMATIVA baseada no retorno informado menos o TER do fundo. A taxa usada no cálculo já desconta o TER: retorno_líquido = (1 + Ibovespa) / (1 + TER) – 1. IR de 15% incide sobre o ganho de capital apenas no resgate. Não há garantia de rentabilidade.</t>
  </si>
  <si>
    <t xml:space="preserve">NOTAS</t>
  </si>
  <si>
    <t xml:space="preserve">  ● Células com fundo amarelo = parâmetros editáveis</t>
  </si>
  <si>
    <t xml:space="preserve">  ● IR — Tabela Regressiva: ≤180d=22,5% | ≤360d=20% | ≤720d=17,5% | &gt;720d=15%  (aplicada ao ganho bruto)</t>
  </si>
  <si>
    <t xml:space="preserve">  ● LCI, LCA e Poupança: isentos de IR para pessoa física</t>
  </si>
  <si>
    <t xml:space="preserve">  ● Poupança: 0,5%/mês se Selic &gt; 8,5%; caso contrário 70% da Selic a.a.</t>
  </si>
  <si>
    <t xml:space="preserve">  ● Tesouro IPCA+: taxa nominal = (1+juro real)×(1+IPCA)−1  [Fisher]</t>
  </si>
  <si>
    <t xml:space="preserve">  ● Custódia B3 (0,20% a.a.) sobre saldo médio estimado — incide sobre Tesouro Direto</t>
  </si>
  <si>
    <t xml:space="preserve">  ● IBOV11: TER (taxa interna) descontado via Fisher antes do FV. IR 15% flat sobre ganho de capital no resgate</t>
  </si>
  <si>
    <t xml:space="preserve">  ● O ranking do IBOV11 é meramente ilustrativo — renda variável não tem retorno garantido</t>
  </si>
  <si>
    <t xml:space="preserve">  ● Esta planilha é apenas informativa e não constitui recomendação de investimento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</si>
</sst>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.00"/>
    <numFmt numFmtId="166" formatCode="0"/>
    <numFmt numFmtId="167" formatCode="0.00%"/>
    <numFmt numFmtId="168" formatCode="0%"/>
    <numFmt numFmtId="169" formatCode="0.0%"/>
    <numFmt numFmtId="170" formatCode="0.000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i val="true"/>
      <sz val="8"/>
      <color rgb="FF833C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3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8FD"/>
      </patternFill>
    </fill>
    <fill>
      <patternFill patternType="solid">
        <fgColor rgb="FFFFD74C"/>
        <bgColor rgb="FFFFFF00"/>
      </patternFill>
    </fill>
    <fill>
      <patternFill patternType="solid">
        <fgColor rgb="FFC55A11"/>
        <bgColor rgb="FF833C00"/>
      </patternFill>
    </fill>
    <fill>
      <patternFill patternType="solid">
        <fgColor rgb="FF808080"/>
        <bgColor rgb="FF595959"/>
      </patternFill>
    </fill>
    <fill>
      <patternFill patternType="solid">
        <fgColor rgb="FFFFFFFF"/>
        <bgColor rgb="FFF9F9F9"/>
      </patternFill>
    </fill>
    <fill>
      <patternFill patternType="solid">
        <fgColor rgb="FFF2F8FD"/>
        <bgColor rgb="FFF9F9F9"/>
      </patternFill>
    </fill>
    <fill>
      <patternFill patternType="solid">
        <fgColor rgb="FFFCE4D6"/>
        <bgColor rgb="FFDEEAF1"/>
      </patternFill>
    </fill>
    <fill>
      <patternFill patternType="solid">
        <fgColor rgb="FFF9F9F9"/>
        <bgColor rgb="FFF2F8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7" fillId="1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7" fillId="1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9F9F9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D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D74C"/>
      <rgbColor rgb="FFFF9900"/>
      <rgbColor rgb="FFC55A11"/>
      <rgbColor rgb="FF595959"/>
      <rgbColor rgb="FFB3B3B3"/>
      <rgbColor rgb="FF004586"/>
      <rgbColor rgb="FF339966"/>
      <rgbColor rgb="FF003300"/>
      <rgbColor rgb="FF333300"/>
      <rgbColor rgb="FF833C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Comparação de Retornos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Comparador!$M$30</c:f>
              <c:strCache>
                <c:ptCount val="1"/>
                <c:pt idx="0">
                  <c:v>Rentab.
Líq.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Comparador!$B$31:$B$38</c:f>
              <c:strCache>
                <c:ptCount val="8"/>
                <c:pt idx="0">
                  <c:v>Tesouro Selic</c:v>
                </c:pt>
                <c:pt idx="1">
                  <c:v>Tesouro IPCA+</c:v>
                </c:pt>
                <c:pt idx="2">
                  <c:v>CDB</c:v>
                </c:pt>
                <c:pt idx="3">
                  <c:v>LCI</c:v>
                </c:pt>
                <c:pt idx="4">
                  <c:v>LCA</c:v>
                </c:pt>
                <c:pt idx="5">
                  <c:v>Poupança</c:v>
                </c:pt>
                <c:pt idx="6">
                  <c:v>Pré-Fixado</c:v>
                </c:pt>
                <c:pt idx="7">
                  <c:v>IBOV11 (ETF) ⚠</c:v>
                </c:pt>
              </c:strCache>
            </c:strRef>
          </c:cat>
          <c:val>
            <c:numRef>
              <c:f>Comparador!$M$31:$M$38</c:f>
              <c:numCache>
                <c:formatCode>0.00%</c:formatCode>
                <c:ptCount val="8"/>
                <c:pt idx="0">
                  <c:v>0.261417500000002</c:v>
                </c:pt>
                <c:pt idx="1">
                  <c:v>0.200782259042674</c:v>
                </c:pt>
                <c:pt idx="2">
                  <c:v>0.294710624999998</c:v>
                </c:pt>
                <c:pt idx="3">
                  <c:v>0.288224999999998</c:v>
                </c:pt>
                <c:pt idx="4">
                  <c:v>0.288224999999998</c:v>
                </c:pt>
                <c:pt idx="5">
                  <c:v>0.127159776205389</c:v>
                </c:pt>
                <c:pt idx="6">
                  <c:v>0.228442500000001</c:v>
                </c:pt>
                <c:pt idx="7">
                  <c:v>0.214110714460366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127034"/>
        <c:axId val="59313879"/>
      </c:lineChart>
      <c:catAx>
        <c:axId val="8012703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313879"/>
        <c:crosses val="autoZero"/>
        <c:auto val="1"/>
        <c:lblAlgn val="ctr"/>
        <c:lblOffset val="100"/>
        <c:noMultiLvlLbl val="0"/>
      </c:catAx>
      <c:valAx>
        <c:axId val="593138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12703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195120</xdr:colOff>
      <xdr:row>5</xdr:row>
      <xdr:rowOff>59040</xdr:rowOff>
    </xdr:from>
    <xdr:to>
      <xdr:col>11</xdr:col>
      <xdr:colOff>518760</xdr:colOff>
      <xdr:row>23</xdr:row>
      <xdr:rowOff>5400</xdr:rowOff>
    </xdr:to>
    <xdr:graphicFrame>
      <xdr:nvGraphicFramePr>
        <xdr:cNvPr id="1" name=""/>
        <xdr:cNvGraphicFramePr/>
      </xdr:nvGraphicFramePr>
      <xdr:xfrm>
        <a:off x="4142160" y="1297440"/>
        <a:ext cx="6737760" cy="378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K25" activeCellId="0" sqref="K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8" min="7" style="1" width="15"/>
    <col collapsed="false" customWidth="true" hidden="false" outlineLevel="0" max="10" min="9" style="1" width="13"/>
    <col collapsed="false" customWidth="true" hidden="false" outlineLevel="0" max="11" min="11" style="1" width="15"/>
    <col collapsed="false" customWidth="true" hidden="false" outlineLevel="0" max="12" min="12" style="1" width="14"/>
    <col collapsed="false" customWidth="true" hidden="false" outlineLevel="0" max="13" min="13" style="1" width="11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7.5" hidden="false" customHeight="true" outlineLevel="0" collapsed="false"/>
    <row r="4" customFormat="false" ht="19.5" hidden="false" customHeight="true" outlineLevel="0" collapsed="false">
      <c r="B4" s="4" t="s">
        <v>2</v>
      </c>
      <c r="C4" s="4"/>
    </row>
    <row r="5" customFormat="false" ht="18.75" hidden="false" customHeight="true" outlineLevel="0" collapsed="false">
      <c r="B5" s="5" t="s">
        <v>3</v>
      </c>
      <c r="C5" s="6" t="n">
        <v>10000</v>
      </c>
    </row>
    <row r="6" customFormat="false" ht="18.75" hidden="false" customHeight="true" outlineLevel="0" collapsed="false">
      <c r="B6" s="5" t="s">
        <v>4</v>
      </c>
      <c r="C6" s="6" t="n">
        <v>0</v>
      </c>
    </row>
    <row r="7" customFormat="false" ht="18.75" hidden="false" customHeight="true" outlineLevel="0" collapsed="false">
      <c r="B7" s="5" t="s">
        <v>5</v>
      </c>
      <c r="C7" s="7" t="n">
        <v>24</v>
      </c>
    </row>
    <row r="8" customFormat="false" ht="6" hidden="false" customHeight="true" outlineLevel="0" collapsed="false"/>
    <row r="9" customFormat="false" ht="19.5" hidden="false" customHeight="true" outlineLevel="0" collapsed="false">
      <c r="B9" s="4" t="s">
        <v>6</v>
      </c>
      <c r="C9" s="4"/>
    </row>
    <row r="10" customFormat="false" ht="18.75" hidden="false" customHeight="true" outlineLevel="0" collapsed="false">
      <c r="B10" s="5" t="s">
        <v>7</v>
      </c>
      <c r="C10" s="8" t="n">
        <v>0.15</v>
      </c>
    </row>
    <row r="11" customFormat="false" ht="18.75" hidden="false" customHeight="true" outlineLevel="0" collapsed="false">
      <c r="B11" s="5" t="s">
        <v>8</v>
      </c>
      <c r="C11" s="8" t="n">
        <v>0.0444</v>
      </c>
    </row>
    <row r="12" customFormat="false" ht="6" hidden="false" customHeight="true" outlineLevel="0" collapsed="false"/>
    <row r="13" customFormat="false" ht="25.55" hidden="false" customHeight="true" outlineLevel="0" collapsed="false">
      <c r="B13" s="4" t="s">
        <v>9</v>
      </c>
      <c r="C13" s="4"/>
    </row>
    <row r="14" customFormat="false" ht="18.75" hidden="false" customHeight="true" outlineLevel="0" collapsed="false">
      <c r="B14" s="5" t="s">
        <v>10</v>
      </c>
      <c r="C14" s="8" t="n">
        <v>0.07</v>
      </c>
    </row>
    <row r="15" customFormat="false" ht="18.75" hidden="false" customHeight="true" outlineLevel="0" collapsed="false">
      <c r="B15" s="5" t="s">
        <v>11</v>
      </c>
      <c r="C15" s="8" t="n">
        <v>0.13</v>
      </c>
    </row>
    <row r="16" customFormat="false" ht="18.75" hidden="false" customHeight="true" outlineLevel="0" collapsed="false">
      <c r="B16" s="5" t="s">
        <v>12</v>
      </c>
      <c r="C16" s="9" t="n">
        <v>1.1</v>
      </c>
    </row>
    <row r="17" customFormat="false" ht="18.75" hidden="false" customHeight="true" outlineLevel="0" collapsed="false">
      <c r="B17" s="5" t="s">
        <v>13</v>
      </c>
      <c r="C17" s="9" t="n">
        <v>0.9</v>
      </c>
    </row>
    <row r="18" customFormat="false" ht="18.75" hidden="false" customHeight="true" outlineLevel="0" collapsed="false">
      <c r="B18" s="5" t="s">
        <v>14</v>
      </c>
      <c r="C18" s="9" t="n">
        <v>0.9</v>
      </c>
    </row>
    <row r="19" customFormat="false" ht="5.65" hidden="false" customHeight="true" outlineLevel="0" collapsed="false"/>
    <row r="20" customFormat="false" ht="27.25" hidden="false" customHeight="true" outlineLevel="0" collapsed="false">
      <c r="B20" s="10" t="s">
        <v>15</v>
      </c>
      <c r="C20" s="10"/>
    </row>
    <row r="21" customFormat="false" ht="18.75" hidden="false" customHeight="true" outlineLevel="0" collapsed="false">
      <c r="B21" s="5" t="s">
        <v>16</v>
      </c>
      <c r="C21" s="8" t="n">
        <v>0.12</v>
      </c>
    </row>
    <row r="22" customFormat="false" ht="18.75" hidden="false" customHeight="true" outlineLevel="0" collapsed="false">
      <c r="B22" s="5" t="s">
        <v>17</v>
      </c>
      <c r="C22" s="8" t="n">
        <v>0.001</v>
      </c>
    </row>
    <row r="23" customFormat="false" ht="6" hidden="false" customHeight="true" outlineLevel="0" collapsed="false"/>
    <row r="24" customFormat="false" ht="19.5" hidden="false" customHeight="true" outlineLevel="0" collapsed="false">
      <c r="B24" s="11" t="s">
        <v>18</v>
      </c>
      <c r="C24" s="11"/>
    </row>
    <row r="25" customFormat="false" ht="18" hidden="false" customHeight="true" outlineLevel="0" collapsed="false">
      <c r="B25" s="5" t="s">
        <v>19</v>
      </c>
      <c r="C25" s="12" t="n">
        <f aca="false">C7*30</f>
        <v>720</v>
      </c>
    </row>
    <row r="26" customFormat="false" ht="18" hidden="false" customHeight="true" outlineLevel="0" collapsed="false">
      <c r="B26" s="5" t="s">
        <v>20</v>
      </c>
      <c r="C26" s="13" t="n">
        <f aca="false">IF(C25&lt;=180,22.5%,IF(C25&lt;=360,20%,IF(C25&lt;=720,17.5%,15%)))</f>
        <v>0.175</v>
      </c>
    </row>
    <row r="27" customFormat="false" ht="18" hidden="false" customHeight="true" outlineLevel="0" collapsed="false">
      <c r="B27" s="5" t="s">
        <v>21</v>
      </c>
      <c r="C27" s="14" t="n">
        <f aca="false">(1+C21)/(1+C22)-1</f>
        <v>0.118881118881119</v>
      </c>
    </row>
    <row r="28" customFormat="false" ht="9.75" hidden="false" customHeight="true" outlineLevel="0" collapsed="false"/>
    <row r="29" customFormat="false" ht="21.75" hidden="false" customHeight="true" outlineLevel="0" collapsed="false">
      <c r="A29" s="15" t="s">
        <v>22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customFormat="false" ht="36" hidden="false" customHeight="true" outlineLevel="0" collapsed="false">
      <c r="A30" s="16" t="s">
        <v>23</v>
      </c>
      <c r="B30" s="16" t="s">
        <v>24</v>
      </c>
      <c r="C30" s="16" t="s">
        <v>25</v>
      </c>
      <c r="D30" s="16" t="s">
        <v>26</v>
      </c>
      <c r="E30" s="16" t="s">
        <v>27</v>
      </c>
      <c r="F30" s="16" t="s">
        <v>28</v>
      </c>
      <c r="G30" s="16" t="s">
        <v>29</v>
      </c>
      <c r="H30" s="16" t="s">
        <v>30</v>
      </c>
      <c r="I30" s="16" t="s">
        <v>31</v>
      </c>
      <c r="J30" s="16" t="s">
        <v>32</v>
      </c>
      <c r="K30" s="16" t="s">
        <v>33</v>
      </c>
      <c r="L30" s="16" t="s">
        <v>34</v>
      </c>
      <c r="M30" s="16" t="s">
        <v>35</v>
      </c>
    </row>
    <row r="31" customFormat="false" ht="19.5" hidden="false" customHeight="true" outlineLevel="0" collapsed="false">
      <c r="A31" s="17" t="n">
        <f aca="false">IFERROR(RANK(K31,$K$31:$K$38,0),"-")</f>
        <v>4</v>
      </c>
      <c r="B31" s="18" t="s">
        <v>36</v>
      </c>
      <c r="C31" s="19" t="n">
        <f aca="false">C10</f>
        <v>0.15</v>
      </c>
      <c r="D31" s="20" t="n">
        <f aca="false">(1+C31)^(1/12)-1</f>
        <v>0.0117149169198534</v>
      </c>
      <c r="E31" s="21" t="s">
        <v>37</v>
      </c>
      <c r="F31" s="21" t="s">
        <v>37</v>
      </c>
      <c r="G31" s="22" t="n">
        <f aca="false">$C$5+$C$6*$C$7</f>
        <v>10000</v>
      </c>
      <c r="H31" s="22" t="n">
        <f aca="false">FV(D31,$C$7,-$C$6,-$C$5)</f>
        <v>13225</v>
      </c>
      <c r="I31" s="22" t="n">
        <f aca="false">MAX(0,(H31-G31))*$C$26</f>
        <v>564.375000000005</v>
      </c>
      <c r="J31" s="22" t="n">
        <f aca="false">((H31+G31)/2)*0.002*($C$7/12)</f>
        <v>46.4500000000001</v>
      </c>
      <c r="K31" s="22" t="n">
        <f aca="false">H31-I31-J31</f>
        <v>12614.175</v>
      </c>
      <c r="L31" s="22" t="n">
        <f aca="false">K31-G31</f>
        <v>2614.17500000002</v>
      </c>
      <c r="M31" s="19" t="n">
        <f aca="false">IF(G31&gt;0,(K31/G31)-1,0)</f>
        <v>0.261417500000002</v>
      </c>
    </row>
    <row r="32" customFormat="false" ht="19.5" hidden="false" customHeight="true" outlineLevel="0" collapsed="false">
      <c r="A32" s="23" t="n">
        <f aca="false">IFERROR(RANK(K32,$K$31:$K$38,0),"-")</f>
        <v>7</v>
      </c>
      <c r="B32" s="24" t="s">
        <v>38</v>
      </c>
      <c r="C32" s="25" t="n">
        <f aca="false">(1+C14)*(1+C11)-1</f>
        <v>0.117508</v>
      </c>
      <c r="D32" s="26" t="n">
        <f aca="false">(1+C32)^(1/12)-1</f>
        <v>0.00930142573520376</v>
      </c>
      <c r="E32" s="27" t="s">
        <v>37</v>
      </c>
      <c r="F32" s="27" t="s">
        <v>37</v>
      </c>
      <c r="G32" s="28" t="n">
        <f aca="false">$C$5+$C$6*$C$7</f>
        <v>10000</v>
      </c>
      <c r="H32" s="28" t="n">
        <f aca="false">FV(D32,$C$7,-$C$6,-$C$5)</f>
        <v>12488.24130064</v>
      </c>
      <c r="I32" s="28" t="n">
        <f aca="false">MAX(0,(H32-G32))*$C$26</f>
        <v>435.442227612003</v>
      </c>
      <c r="J32" s="28" t="n">
        <f aca="false">((H32+G32)/2)*0.002*($C$7/12)</f>
        <v>44.97648260128</v>
      </c>
      <c r="K32" s="28" t="n">
        <f aca="false">H32-I32-J32</f>
        <v>12007.8225904267</v>
      </c>
      <c r="L32" s="28" t="n">
        <f aca="false">K32-G32</f>
        <v>2007.82259042673</v>
      </c>
      <c r="M32" s="25" t="n">
        <f aca="false">IF(G32&gt;0,(K32/G32)-1,0)</f>
        <v>0.200782259042674</v>
      </c>
    </row>
    <row r="33" customFormat="false" ht="19.5" hidden="false" customHeight="true" outlineLevel="0" collapsed="false">
      <c r="A33" s="17" t="n">
        <f aca="false">IFERROR(RANK(K33,$K$31:$K$38,0),"-")</f>
        <v>1</v>
      </c>
      <c r="B33" s="18" t="s">
        <v>39</v>
      </c>
      <c r="C33" s="19" t="n">
        <f aca="false">C10*C16</f>
        <v>0.165</v>
      </c>
      <c r="D33" s="20" t="n">
        <f aca="false">(1+C33)^(1/12)-1</f>
        <v>0.0128080870819836</v>
      </c>
      <c r="E33" s="21" t="s">
        <v>37</v>
      </c>
      <c r="F33" s="21" t="s">
        <v>40</v>
      </c>
      <c r="G33" s="22" t="n">
        <f aca="false">$C$5+$C$6*$C$7</f>
        <v>10000</v>
      </c>
      <c r="H33" s="22" t="n">
        <f aca="false">FV(D33,$C$7,-$C$6,-$C$5)</f>
        <v>13572.25</v>
      </c>
      <c r="I33" s="22" t="n">
        <f aca="false">MAX(0,(H33-G33))*$C$26</f>
        <v>625.143749999996</v>
      </c>
      <c r="J33" s="22" t="n">
        <f aca="false">0</f>
        <v>0</v>
      </c>
      <c r="K33" s="22" t="n">
        <f aca="false">H33-I33-J33</f>
        <v>12947.10625</v>
      </c>
      <c r="L33" s="22" t="n">
        <f aca="false">K33-G33</f>
        <v>2947.10624999998</v>
      </c>
      <c r="M33" s="19" t="n">
        <f aca="false">IF(G33&gt;0,(K33/G33)-1,0)</f>
        <v>0.294710624999998</v>
      </c>
    </row>
    <row r="34" customFormat="false" ht="19.5" hidden="false" customHeight="true" outlineLevel="0" collapsed="false">
      <c r="A34" s="23" t="n">
        <f aca="false">IFERROR(RANK(K34,$K$31:$K$38,0),"-")</f>
        <v>2</v>
      </c>
      <c r="B34" s="24" t="s">
        <v>41</v>
      </c>
      <c r="C34" s="25" t="n">
        <f aca="false">C10*C17</f>
        <v>0.135</v>
      </c>
      <c r="D34" s="26" t="n">
        <f aca="false">(1+C34)^(1/12)-1</f>
        <v>0.0106085972465868</v>
      </c>
      <c r="E34" s="27" t="s">
        <v>42</v>
      </c>
      <c r="F34" s="27" t="s">
        <v>40</v>
      </c>
      <c r="G34" s="28" t="n">
        <f aca="false">$C$5+$C$6*$C$7</f>
        <v>10000</v>
      </c>
      <c r="H34" s="28" t="n">
        <f aca="false">FV(D34,$C$7,-$C$6,-$C$5)</f>
        <v>12882.25</v>
      </c>
      <c r="I34" s="28" t="n">
        <f aca="false">0</f>
        <v>0</v>
      </c>
      <c r="J34" s="28" t="n">
        <f aca="false">0</f>
        <v>0</v>
      </c>
      <c r="K34" s="28" t="n">
        <f aca="false">H34-I34-J34</f>
        <v>12882.25</v>
      </c>
      <c r="L34" s="28" t="n">
        <f aca="false">K34-G34</f>
        <v>2882.24999999998</v>
      </c>
      <c r="M34" s="25" t="n">
        <f aca="false">IF(G34&gt;0,(K34/G34)-1,0)</f>
        <v>0.288224999999998</v>
      </c>
    </row>
    <row r="35" customFormat="false" ht="19.5" hidden="false" customHeight="true" outlineLevel="0" collapsed="false">
      <c r="A35" s="17" t="n">
        <f aca="false">IFERROR(RANK(K35,$K$31:$K$38,0),"-")</f>
        <v>2</v>
      </c>
      <c r="B35" s="18" t="s">
        <v>43</v>
      </c>
      <c r="C35" s="19" t="n">
        <f aca="false">C10*C18</f>
        <v>0.135</v>
      </c>
      <c r="D35" s="20" t="n">
        <f aca="false">(1+C35)^(1/12)-1</f>
        <v>0.0106085972465868</v>
      </c>
      <c r="E35" s="21" t="s">
        <v>42</v>
      </c>
      <c r="F35" s="21" t="s">
        <v>40</v>
      </c>
      <c r="G35" s="22" t="n">
        <f aca="false">$C$5+$C$6*$C$7</f>
        <v>10000</v>
      </c>
      <c r="H35" s="22" t="n">
        <f aca="false">FV(D35,$C$7,-$C$6,-$C$5)</f>
        <v>12882.25</v>
      </c>
      <c r="I35" s="22" t="n">
        <f aca="false">0</f>
        <v>0</v>
      </c>
      <c r="J35" s="22" t="n">
        <f aca="false">0</f>
        <v>0</v>
      </c>
      <c r="K35" s="22" t="n">
        <f aca="false">H35-I35-J35</f>
        <v>12882.25</v>
      </c>
      <c r="L35" s="22" t="n">
        <f aca="false">K35-G35</f>
        <v>2882.24999999998</v>
      </c>
      <c r="M35" s="19" t="n">
        <f aca="false">IF(G35&gt;0,(K35/G35)-1,0)</f>
        <v>0.288224999999998</v>
      </c>
    </row>
    <row r="36" customFormat="false" ht="19.5" hidden="false" customHeight="true" outlineLevel="0" collapsed="false">
      <c r="A36" s="23" t="n">
        <f aca="false">IFERROR(RANK(K36,$K$31:$K$38,0),"-")</f>
        <v>8</v>
      </c>
      <c r="B36" s="24" t="s">
        <v>44</v>
      </c>
      <c r="C36" s="25" t="n">
        <f aca="false">IF(C10&gt;8.5%,(1.005^12-1),C10*0.7)</f>
        <v>0.0616778118644983</v>
      </c>
      <c r="D36" s="26" t="n">
        <f aca="false">(1+C36)^(1/12)-1</f>
        <v>0.00499999999999989</v>
      </c>
      <c r="E36" s="27" t="s">
        <v>42</v>
      </c>
      <c r="F36" s="27" t="s">
        <v>40</v>
      </c>
      <c r="G36" s="28" t="n">
        <f aca="false">$C$5+$C$6*$C$7</f>
        <v>10000</v>
      </c>
      <c r="H36" s="28" t="n">
        <f aca="false">FV(D36,$C$7,-$C$6,-$C$5)</f>
        <v>11271.5977620539</v>
      </c>
      <c r="I36" s="28" t="n">
        <f aca="false">0</f>
        <v>0</v>
      </c>
      <c r="J36" s="28" t="n">
        <f aca="false">0</f>
        <v>0</v>
      </c>
      <c r="K36" s="28" t="n">
        <f aca="false">H36-I36-J36</f>
        <v>11271.5977620539</v>
      </c>
      <c r="L36" s="28" t="n">
        <f aca="false">K36-G36</f>
        <v>1271.59776205389</v>
      </c>
      <c r="M36" s="25" t="n">
        <f aca="false">IF(G36&gt;0,(K36/G36)-1,0)</f>
        <v>0.127159776205389</v>
      </c>
    </row>
    <row r="37" customFormat="false" ht="19.5" hidden="false" customHeight="true" outlineLevel="0" collapsed="false">
      <c r="A37" s="17" t="n">
        <f aca="false">IFERROR(RANK(K37,$K$31:$K$38,0),"-")</f>
        <v>5</v>
      </c>
      <c r="B37" s="18" t="s">
        <v>45</v>
      </c>
      <c r="C37" s="19" t="n">
        <f aca="false">C15</f>
        <v>0.13</v>
      </c>
      <c r="D37" s="20" t="n">
        <f aca="false">(1+C37)^(1/12)-1</f>
        <v>0.0102368443581764</v>
      </c>
      <c r="E37" s="21" t="s">
        <v>37</v>
      </c>
      <c r="F37" s="21" t="s">
        <v>40</v>
      </c>
      <c r="G37" s="22" t="n">
        <f aca="false">$C$5+$C$6*$C$7</f>
        <v>10000</v>
      </c>
      <c r="H37" s="22" t="n">
        <f aca="false">FV(D37,$C$7,-$C$6,-$C$5)</f>
        <v>12769</v>
      </c>
      <c r="I37" s="22" t="n">
        <f aca="false">MAX(0,(H37-G37))*$C$26</f>
        <v>484.575000000002</v>
      </c>
      <c r="J37" s="22" t="n">
        <f aca="false">0</f>
        <v>0</v>
      </c>
      <c r="K37" s="22" t="n">
        <f aca="false">H37-I37-J37</f>
        <v>12284.425</v>
      </c>
      <c r="L37" s="22" t="n">
        <f aca="false">K37-G37</f>
        <v>2284.42500000001</v>
      </c>
      <c r="M37" s="19" t="n">
        <f aca="false">IF(G37&gt;0,(K37/G37)-1,0)</f>
        <v>0.228442500000001</v>
      </c>
    </row>
    <row r="38" customFormat="false" ht="19.5" hidden="false" customHeight="true" outlineLevel="0" collapsed="false">
      <c r="A38" s="29" t="n">
        <f aca="false">IFERROR(RANK(K38,$K$31:$K$38,0),"-")</f>
        <v>6</v>
      </c>
      <c r="B38" s="30" t="s">
        <v>46</v>
      </c>
      <c r="C38" s="31" t="n">
        <f aca="false">C27</f>
        <v>0.118881118881119</v>
      </c>
      <c r="D38" s="32" t="n">
        <f aca="false">(1+C38)^(1/12)-1</f>
        <v>0.00940471440408808</v>
      </c>
      <c r="E38" s="33" t="s">
        <v>47</v>
      </c>
      <c r="F38" s="33" t="s">
        <v>40</v>
      </c>
      <c r="G38" s="34" t="n">
        <f aca="false">$C$5+$C$6*$C$7</f>
        <v>10000</v>
      </c>
      <c r="H38" s="34" t="n">
        <f aca="false">FV(D38,$C$7,-$C$6,-$C$5)</f>
        <v>12518.9495818867</v>
      </c>
      <c r="I38" s="34" t="n">
        <f aca="false">MAX(0,(H38-G38))*15%</f>
        <v>377.842437282999</v>
      </c>
      <c r="J38" s="34" t="n">
        <f aca="false">0</f>
        <v>0</v>
      </c>
      <c r="K38" s="34" t="n">
        <f aca="false">H38-I38-J38</f>
        <v>12141.1071446037</v>
      </c>
      <c r="L38" s="34" t="n">
        <f aca="false">K38-G38</f>
        <v>2141.10714460366</v>
      </c>
      <c r="M38" s="31" t="n">
        <f aca="false">IF(G38&gt;0,(K38/G38)-1,0)</f>
        <v>0.214110714460366</v>
      </c>
    </row>
    <row r="39" customFormat="false" ht="27.75" hidden="false" customHeight="true" outlineLevel="0" collapsed="false">
      <c r="A39" s="35" t="s">
        <v>48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1" customFormat="false" ht="15" hidden="false" customHeight="false" outlineLevel="0" collapsed="false">
      <c r="A41" s="36" t="s">
        <v>49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customFormat="false" ht="12.75" hidden="false" customHeight="true" outlineLevel="0" collapsed="false">
      <c r="A42" s="37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</row>
    <row r="43" customFormat="false" ht="12.75" hidden="false" customHeight="true" outlineLevel="0" collapsed="false">
      <c r="A43" s="38" t="s">
        <v>51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customFormat="false" ht="12.75" hidden="false" customHeight="true" outlineLevel="0" collapsed="false">
      <c r="A44" s="38" t="s">
        <v>52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customFormat="false" ht="12.75" hidden="false" customHeight="true" outlineLevel="0" collapsed="false">
      <c r="A45" s="38" t="s">
        <v>53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</row>
    <row r="46" customFormat="false" ht="12.75" hidden="false" customHeight="true" outlineLevel="0" collapsed="false">
      <c r="A46" s="38" t="s">
        <v>54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7" customFormat="false" ht="12.75" hidden="false" customHeight="true" outlineLevel="0" collapsed="false">
      <c r="A47" s="38" t="s">
        <v>55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</row>
    <row r="48" customFormat="false" ht="12.75" hidden="false" customHeight="true" outlineLevel="0" collapsed="false">
      <c r="A48" s="38" t="s">
        <v>56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customFormat="false" ht="12.75" hidden="false" customHeight="true" outlineLevel="0" collapsed="false">
      <c r="A49" s="38" t="s">
        <v>57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customFormat="false" ht="12.75" hidden="false" customHeight="true" outlineLevel="0" collapsed="false">
      <c r="A50" s="38" t="s">
        <v>58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</row>
  </sheetData>
  <mergeCells count="19">
    <mergeCell ref="A1:M1"/>
    <mergeCell ref="A2:M2"/>
    <mergeCell ref="B4:C4"/>
    <mergeCell ref="B9:C9"/>
    <mergeCell ref="B13:C13"/>
    <mergeCell ref="B20:C20"/>
    <mergeCell ref="B24:C24"/>
    <mergeCell ref="A29:M29"/>
    <mergeCell ref="A39:M39"/>
    <mergeCell ref="A41:M41"/>
    <mergeCell ref="A42:M42"/>
    <mergeCell ref="A43:M43"/>
    <mergeCell ref="A44:M44"/>
    <mergeCell ref="A45:M45"/>
    <mergeCell ref="A46:M46"/>
    <mergeCell ref="A47:M47"/>
    <mergeCell ref="A48:M48"/>
    <mergeCell ref="A49:M49"/>
    <mergeCell ref="A50:M50"/>
  </mergeCells>
  <conditionalFormatting sqref="A34:M37 A31:M32">
    <cfRule type="expression" priority="2" aboveAverage="0" equalAverage="0" bottom="0" percent="0" rank="0" text="" dxfId="0">
      <formula>$A31=1</formula>
    </cfRule>
  </conditionalFormatting>
  <conditionalFormatting sqref="A33:M33">
    <cfRule type="expression" priority="3" aboveAverage="0" equalAverage="0" bottom="0" percent="0" rank="0" text="" dxfId="0">
      <formula>$A33=1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2026-03-10T03:39:25Z</dcterms:created>
  <dc:creator>openpyxl</dc:creator>
  <dc:description/>
  <dc:language>en-US</dc:language>
  <cp:lastModifiedBy/>
  <dcterms:modified xsi:type="dcterms:W3CDTF">2026-03-30T15:14:50Z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